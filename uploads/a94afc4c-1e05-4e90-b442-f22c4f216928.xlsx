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lazquezgp\Documents\"/>
    </mc:Choice>
  </mc:AlternateContent>
  <xr:revisionPtr revIDLastSave="0" documentId="13_ncr:1_{00853F6E-AD4D-44E1-890E-917F0C92476C}" xr6:coauthVersionLast="47" xr6:coauthVersionMax="47" xr10:uidLastSave="{00000000-0000-0000-0000-000000000000}"/>
  <bookViews>
    <workbookView xWindow="28680" yWindow="-120" windowWidth="29040" windowHeight="15720" activeTab="1" xr2:uid="{036B1B4F-586A-4D2C-946A-E8EBA3B429D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2" l="1"/>
  <c r="N34" i="2"/>
  <c r="J30" i="2"/>
  <c r="T24" i="2"/>
  <c r="T23" i="2"/>
  <c r="O30" i="2"/>
  <c r="J39" i="2"/>
  <c r="I39" i="2"/>
  <c r="N31" i="2"/>
  <c r="G31" i="2"/>
  <c r="F31" i="2"/>
  <c r="G30" i="2"/>
  <c r="F30" i="2"/>
  <c r="M24" i="3"/>
  <c r="L24" i="3"/>
  <c r="I24" i="3"/>
  <c r="J22" i="3"/>
  <c r="M22" i="3" s="1"/>
  <c r="L22" i="3"/>
  <c r="K24" i="3"/>
  <c r="K22" i="3"/>
  <c r="K19" i="2"/>
  <c r="Q12" i="2"/>
  <c r="F9" i="2"/>
  <c r="C9" i="2"/>
  <c r="I37" i="1"/>
  <c r="J35" i="1"/>
  <c r="J32" i="1"/>
  <c r="J30" i="1"/>
  <c r="M33" i="1"/>
  <c r="Q25" i="1"/>
  <c r="Q24" i="1"/>
  <c r="E27" i="1"/>
  <c r="B20" i="1"/>
  <c r="B23" i="1" s="1"/>
  <c r="O9" i="1"/>
  <c r="L20" i="1"/>
  <c r="K18" i="1"/>
  <c r="E9" i="2" l="1"/>
  <c r="F11" i="2"/>
  <c r="K25" i="2"/>
</calcChain>
</file>

<file path=xl/sharedStrings.xml><?xml version="1.0" encoding="utf-8"?>
<sst xmlns="http://schemas.openxmlformats.org/spreadsheetml/2006/main" count="96" uniqueCount="65">
  <si>
    <t>seguro axa cobertura amplia 2</t>
  </si>
  <si>
    <t>promo</t>
  </si>
  <si>
    <t>3 y 5 meses sin intereses</t>
  </si>
  <si>
    <t>dinero</t>
  </si>
  <si>
    <t>angie</t>
  </si>
  <si>
    <t>angie extra</t>
  </si>
  <si>
    <t>meli</t>
  </si>
  <si>
    <t>any</t>
  </si>
  <si>
    <t>francisco</t>
  </si>
  <si>
    <t>total</t>
  </si>
  <si>
    <t>genaro</t>
  </si>
  <si>
    <t>genaro nov</t>
  </si>
  <si>
    <t>genaro dic</t>
  </si>
  <si>
    <t>seguro</t>
  </si>
  <si>
    <t>auto</t>
  </si>
  <si>
    <t>faltan</t>
  </si>
  <si>
    <t>genaro aguinaldo</t>
  </si>
  <si>
    <t>pago</t>
  </si>
  <si>
    <t>ini</t>
  </si>
  <si>
    <t>meses</t>
  </si>
  <si>
    <t>urban 2021</t>
  </si>
  <si>
    <t>toyota</t>
  </si>
  <si>
    <t>dinero angie</t>
  </si>
  <si>
    <t>rita</t>
  </si>
  <si>
    <t>francis</t>
  </si>
  <si>
    <t>yadira</t>
  </si>
  <si>
    <t>alvaro</t>
  </si>
  <si>
    <t>contado</t>
  </si>
  <si>
    <t>asientos</t>
  </si>
  <si>
    <t>cromada</t>
  </si>
  <si>
    <t>gas</t>
  </si>
  <si>
    <t>genaro bbva</t>
  </si>
  <si>
    <t>genaro mp</t>
  </si>
  <si>
    <t>genaro ctes</t>
  </si>
  <si>
    <t>efectivo genaro</t>
  </si>
  <si>
    <t>angie efct</t>
  </si>
  <si>
    <t>genaro efec</t>
  </si>
  <si>
    <t>francisco transferir</t>
  </si>
  <si>
    <t>angelica transferencia</t>
  </si>
  <si>
    <t>genarop va a trasferir</t>
  </si>
  <si>
    <t>FRANCISCO</t>
  </si>
  <si>
    <t>ANY</t>
  </si>
  <si>
    <t>MELANIE</t>
  </si>
  <si>
    <t>ANGIE</t>
  </si>
  <si>
    <t>GENARO</t>
  </si>
  <si>
    <t>dias de trabajo</t>
  </si>
  <si>
    <t>ruta</t>
  </si>
  <si>
    <t>cuenta</t>
  </si>
  <si>
    <t>tarjeta</t>
  </si>
  <si>
    <t>renta de lugar</t>
  </si>
  <si>
    <t>ganancia</t>
  </si>
  <si>
    <t>ganancia neta</t>
  </si>
  <si>
    <t>rapidos</t>
  </si>
  <si>
    <t>gastos renta</t>
  </si>
  <si>
    <t>gastos aguinaldo</t>
  </si>
  <si>
    <t>nov</t>
  </si>
  <si>
    <t>porcentaje</t>
  </si>
  <si>
    <t>interes x dia</t>
  </si>
  <si>
    <t>saldo</t>
  </si>
  <si>
    <t>ene 19 abono meli</t>
  </si>
  <si>
    <t>febr</t>
  </si>
  <si>
    <t>marzo</t>
  </si>
  <si>
    <t>ANGIE any xv rita</t>
  </si>
  <si>
    <t xml:space="preserve">ANY </t>
  </si>
  <si>
    <t>debo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</si>
</sst>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DBB8-7E1D-4DFF-9663-4D2EB5E60722}">
  <dimension ref="A3:U45"/>
  <sheetViews>
    <sheetView workbookViewId="0">
      <selection activeCell="A3" sqref="A3:F20"/>
    </sheetView>
  </sheetViews>
  <sheetFormatPr baseColWidth="10" defaultRowHeight="15" x14ac:dyDescent="0.25"/>
  <sheetData>
    <row r="3" spans="1:21" x14ac:dyDescent="0.25">
      <c r="B3" t="s">
        <v>3</v>
      </c>
    </row>
    <row r="4" spans="1:21" x14ac:dyDescent="0.25">
      <c r="A4" t="s">
        <v>4</v>
      </c>
      <c r="B4">
        <v>144000</v>
      </c>
      <c r="E4" t="s">
        <v>22</v>
      </c>
      <c r="F4">
        <v>80000</v>
      </c>
      <c r="T4" t="s">
        <v>0</v>
      </c>
    </row>
    <row r="5" spans="1:21" x14ac:dyDescent="0.25">
      <c r="A5" t="s">
        <v>5</v>
      </c>
      <c r="B5">
        <v>10000</v>
      </c>
      <c r="E5" t="s">
        <v>6</v>
      </c>
      <c r="F5">
        <v>20000</v>
      </c>
      <c r="T5">
        <v>24194</v>
      </c>
    </row>
    <row r="6" spans="1:21" x14ac:dyDescent="0.25">
      <c r="A6" t="s">
        <v>7</v>
      </c>
      <c r="B6">
        <v>54900</v>
      </c>
      <c r="E6" t="s">
        <v>23</v>
      </c>
      <c r="F6">
        <v>15000</v>
      </c>
      <c r="K6">
        <v>554</v>
      </c>
      <c r="S6" t="s">
        <v>1</v>
      </c>
      <c r="T6">
        <v>20671</v>
      </c>
      <c r="U6" t="s">
        <v>2</v>
      </c>
    </row>
    <row r="7" spans="1:21" x14ac:dyDescent="0.25">
      <c r="A7" t="s">
        <v>6</v>
      </c>
      <c r="B7">
        <v>70400</v>
      </c>
      <c r="E7" t="s">
        <v>24</v>
      </c>
      <c r="F7">
        <v>15000</v>
      </c>
      <c r="K7">
        <v>2371</v>
      </c>
      <c r="O7">
        <v>266000</v>
      </c>
    </row>
    <row r="8" spans="1:21" x14ac:dyDescent="0.25">
      <c r="A8" t="s">
        <v>8</v>
      </c>
      <c r="B8">
        <v>60000</v>
      </c>
      <c r="E8" t="s">
        <v>25</v>
      </c>
      <c r="F8">
        <v>14000</v>
      </c>
      <c r="K8">
        <v>2914</v>
      </c>
      <c r="O8">
        <v>480000</v>
      </c>
    </row>
    <row r="9" spans="1:21" x14ac:dyDescent="0.25">
      <c r="A9" t="s">
        <v>10</v>
      </c>
      <c r="B9">
        <v>50000</v>
      </c>
      <c r="E9" t="s">
        <v>26</v>
      </c>
      <c r="F9">
        <v>14000</v>
      </c>
      <c r="K9">
        <v>713</v>
      </c>
      <c r="O9">
        <f>O8-O7</f>
        <v>214000</v>
      </c>
    </row>
    <row r="10" spans="1:21" x14ac:dyDescent="0.25">
      <c r="A10" t="s">
        <v>4</v>
      </c>
      <c r="B10">
        <v>78000</v>
      </c>
      <c r="K10">
        <v>1385</v>
      </c>
    </row>
    <row r="11" spans="1:21" x14ac:dyDescent="0.25">
      <c r="K11">
        <v>1815</v>
      </c>
    </row>
    <row r="12" spans="1:21" x14ac:dyDescent="0.25">
      <c r="K12">
        <v>2499</v>
      </c>
    </row>
    <row r="13" spans="1:21" x14ac:dyDescent="0.25">
      <c r="A13" t="s">
        <v>11</v>
      </c>
      <c r="B13">
        <v>25000</v>
      </c>
      <c r="K13">
        <v>390</v>
      </c>
    </row>
    <row r="14" spans="1:21" x14ac:dyDescent="0.25">
      <c r="A14" t="s">
        <v>12</v>
      </c>
      <c r="B14">
        <v>25000</v>
      </c>
      <c r="K14">
        <v>700</v>
      </c>
    </row>
    <row r="15" spans="1:21" x14ac:dyDescent="0.25">
      <c r="A15" t="s">
        <v>16</v>
      </c>
      <c r="B15">
        <v>35000</v>
      </c>
      <c r="K15">
        <v>4152</v>
      </c>
    </row>
    <row r="16" spans="1:21" x14ac:dyDescent="0.25">
      <c r="K16">
        <v>4617</v>
      </c>
    </row>
    <row r="17" spans="1:17" x14ac:dyDescent="0.25">
      <c r="K17">
        <v>2746</v>
      </c>
    </row>
    <row r="18" spans="1:17" x14ac:dyDescent="0.25">
      <c r="K18">
        <f>SUM(K6:K17)</f>
        <v>24856</v>
      </c>
    </row>
    <row r="20" spans="1:17" x14ac:dyDescent="0.25">
      <c r="A20" t="s">
        <v>9</v>
      </c>
      <c r="B20">
        <f>SUM(B4:B18)</f>
        <v>552300</v>
      </c>
      <c r="K20">
        <v>40000</v>
      </c>
      <c r="L20">
        <f>K20-K18</f>
        <v>15144</v>
      </c>
    </row>
    <row r="23" spans="1:17" x14ac:dyDescent="0.25">
      <c r="A23" t="s">
        <v>15</v>
      </c>
      <c r="B23">
        <f>B20-E27</f>
        <v>57300</v>
      </c>
      <c r="Q23">
        <v>65000</v>
      </c>
    </row>
    <row r="24" spans="1:17" x14ac:dyDescent="0.25">
      <c r="D24" t="s">
        <v>14</v>
      </c>
      <c r="E24">
        <v>480000</v>
      </c>
      <c r="Q24">
        <f>Q23/12</f>
        <v>5416.666666666667</v>
      </c>
    </row>
    <row r="25" spans="1:17" x14ac:dyDescent="0.25">
      <c r="D25" t="s">
        <v>13</v>
      </c>
      <c r="E25">
        <v>15000</v>
      </c>
      <c r="Q25">
        <f>Q24*1.15</f>
        <v>6229.166666666667</v>
      </c>
    </row>
    <row r="27" spans="1:17" x14ac:dyDescent="0.25">
      <c r="E27">
        <f>SUM(E24:E25)</f>
        <v>495000</v>
      </c>
    </row>
    <row r="30" spans="1:17" x14ac:dyDescent="0.25">
      <c r="H30">
        <v>613000</v>
      </c>
      <c r="J30">
        <f>H30+H32</f>
        <v>631500</v>
      </c>
    </row>
    <row r="31" spans="1:17" x14ac:dyDescent="0.25">
      <c r="G31" t="s">
        <v>17</v>
      </c>
      <c r="H31">
        <v>17210</v>
      </c>
      <c r="J31">
        <v>450000</v>
      </c>
    </row>
    <row r="32" spans="1:17" x14ac:dyDescent="0.25">
      <c r="G32" t="s">
        <v>13</v>
      </c>
      <c r="H32">
        <v>18500</v>
      </c>
      <c r="J32">
        <f>J30-J31</f>
        <v>181500</v>
      </c>
    </row>
    <row r="33" spans="7:13" x14ac:dyDescent="0.25">
      <c r="G33" t="s">
        <v>18</v>
      </c>
      <c r="H33">
        <v>455290</v>
      </c>
      <c r="M33">
        <f>3500/1.16</f>
        <v>3017.2413793103451</v>
      </c>
    </row>
    <row r="34" spans="7:13" x14ac:dyDescent="0.25">
      <c r="G34" t="s">
        <v>19</v>
      </c>
      <c r="H34">
        <v>12</v>
      </c>
    </row>
    <row r="35" spans="7:13" x14ac:dyDescent="0.25">
      <c r="J35">
        <f>J32/12</f>
        <v>15125</v>
      </c>
    </row>
    <row r="37" spans="7:13" x14ac:dyDescent="0.25">
      <c r="I37">
        <f>H31*H34</f>
        <v>206520</v>
      </c>
    </row>
    <row r="44" spans="7:13" x14ac:dyDescent="0.25">
      <c r="J44" t="s">
        <v>20</v>
      </c>
      <c r="K44">
        <v>495000</v>
      </c>
    </row>
    <row r="45" spans="7:13" x14ac:dyDescent="0.25">
      <c r="J45" t="s">
        <v>21</v>
      </c>
      <c r="K45">
        <v>465000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DE69-6D12-4D16-A5B2-3A1B6C153391}">
  <dimension ref="B2:T47"/>
  <sheetViews>
    <sheetView tabSelected="1" topLeftCell="B23" workbookViewId="0">
      <selection activeCell="L50" sqref="L50"/>
    </sheetView>
  </sheetViews>
  <sheetFormatPr baseColWidth="10" defaultRowHeight="15" x14ac:dyDescent="0.25"/>
  <cols>
    <col min="8" max="8" width="18.7109375" customWidth="1"/>
    <col min="11" max="11" width="16.42578125" customWidth="1"/>
  </cols>
  <sheetData>
    <row r="2" spans="2:17" x14ac:dyDescent="0.25">
      <c r="C2">
        <v>2024</v>
      </c>
      <c r="F2">
        <v>2021</v>
      </c>
      <c r="K2" t="s">
        <v>3</v>
      </c>
    </row>
    <row r="3" spans="2:17" x14ac:dyDescent="0.25">
      <c r="J3" t="s">
        <v>4</v>
      </c>
      <c r="K3">
        <v>144000</v>
      </c>
      <c r="N3" t="s">
        <v>22</v>
      </c>
      <c r="O3">
        <v>76000</v>
      </c>
    </row>
    <row r="4" spans="2:17" x14ac:dyDescent="0.25">
      <c r="B4" t="s">
        <v>27</v>
      </c>
      <c r="C4">
        <v>609000</v>
      </c>
      <c r="E4" t="s">
        <v>27</v>
      </c>
      <c r="F4">
        <v>495000</v>
      </c>
      <c r="J4" t="s">
        <v>5</v>
      </c>
      <c r="K4">
        <v>10000</v>
      </c>
      <c r="N4" t="s">
        <v>6</v>
      </c>
    </row>
    <row r="5" spans="2:17" x14ac:dyDescent="0.25">
      <c r="B5" t="s">
        <v>28</v>
      </c>
      <c r="C5">
        <v>16000</v>
      </c>
      <c r="J5" t="s">
        <v>7</v>
      </c>
      <c r="K5">
        <v>54000</v>
      </c>
      <c r="N5" t="s">
        <v>23</v>
      </c>
      <c r="O5">
        <v>15000</v>
      </c>
    </row>
    <row r="6" spans="2:17" x14ac:dyDescent="0.25">
      <c r="B6" t="s">
        <v>29</v>
      </c>
      <c r="J6" t="s">
        <v>6</v>
      </c>
      <c r="K6">
        <v>70000</v>
      </c>
      <c r="N6" t="s">
        <v>24</v>
      </c>
      <c r="O6">
        <v>15000</v>
      </c>
    </row>
    <row r="7" spans="2:17" x14ac:dyDescent="0.25">
      <c r="B7" t="s">
        <v>30</v>
      </c>
      <c r="C7">
        <v>17000</v>
      </c>
      <c r="J7" t="s">
        <v>8</v>
      </c>
      <c r="K7">
        <v>60000</v>
      </c>
      <c r="N7" t="s">
        <v>25</v>
      </c>
      <c r="O7">
        <v>14000</v>
      </c>
    </row>
    <row r="8" spans="2:17" x14ac:dyDescent="0.25">
      <c r="J8" t="s">
        <v>31</v>
      </c>
      <c r="K8">
        <v>35000</v>
      </c>
      <c r="N8" t="s">
        <v>26</v>
      </c>
      <c r="O8">
        <v>14000</v>
      </c>
    </row>
    <row r="9" spans="2:17" x14ac:dyDescent="0.25">
      <c r="C9">
        <f>SUM(C4:C7)</f>
        <v>642000</v>
      </c>
      <c r="E9">
        <f>C9-F9</f>
        <v>147000</v>
      </c>
      <c r="F9">
        <f>SUM(F4:F7)</f>
        <v>495000</v>
      </c>
      <c r="J9" t="s">
        <v>4</v>
      </c>
      <c r="K9">
        <v>76000</v>
      </c>
    </row>
    <row r="10" spans="2:17" x14ac:dyDescent="0.25">
      <c r="J10" t="s">
        <v>32</v>
      </c>
      <c r="K10">
        <v>20000</v>
      </c>
    </row>
    <row r="11" spans="2:17" x14ac:dyDescent="0.25">
      <c r="F11">
        <f>F9-K19</f>
        <v>25000</v>
      </c>
      <c r="J11" t="s">
        <v>33</v>
      </c>
      <c r="K11">
        <v>0</v>
      </c>
    </row>
    <row r="12" spans="2:17" x14ac:dyDescent="0.25">
      <c r="J12" t="s">
        <v>36</v>
      </c>
      <c r="K12">
        <v>1000</v>
      </c>
      <c r="Q12">
        <f>700*25</f>
        <v>17500</v>
      </c>
    </row>
    <row r="17" spans="2:20" x14ac:dyDescent="0.25">
      <c r="O17" t="s">
        <v>39</v>
      </c>
      <c r="Q17">
        <v>199000</v>
      </c>
    </row>
    <row r="19" spans="2:20" x14ac:dyDescent="0.25">
      <c r="K19">
        <f>SUM(K3:K17)</f>
        <v>470000</v>
      </c>
      <c r="O19" t="s">
        <v>38</v>
      </c>
      <c r="Q19">
        <v>185000</v>
      </c>
    </row>
    <row r="20" spans="2:20" x14ac:dyDescent="0.25">
      <c r="O20" t="s">
        <v>37</v>
      </c>
      <c r="Q20">
        <v>75000</v>
      </c>
    </row>
    <row r="21" spans="2:20" x14ac:dyDescent="0.25">
      <c r="J21" t="s">
        <v>11</v>
      </c>
      <c r="K21">
        <v>25000</v>
      </c>
      <c r="O21" t="s">
        <v>35</v>
      </c>
      <c r="Q21">
        <v>10000</v>
      </c>
      <c r="T21">
        <v>15000</v>
      </c>
    </row>
    <row r="22" spans="2:20" x14ac:dyDescent="0.25">
      <c r="J22" t="s">
        <v>12</v>
      </c>
      <c r="K22">
        <v>25000</v>
      </c>
      <c r="O22" t="s">
        <v>34</v>
      </c>
      <c r="Q22">
        <v>1000</v>
      </c>
      <c r="T22">
        <v>27000</v>
      </c>
    </row>
    <row r="23" spans="2:20" x14ac:dyDescent="0.25">
      <c r="J23" t="s">
        <v>16</v>
      </c>
      <c r="K23">
        <v>35000</v>
      </c>
      <c r="T23">
        <f>SUM(T21:T22)</f>
        <v>42000</v>
      </c>
    </row>
    <row r="24" spans="2:20" x14ac:dyDescent="0.25">
      <c r="T24">
        <f>T23-O30</f>
        <v>39558.904109589042</v>
      </c>
    </row>
    <row r="25" spans="2:20" x14ac:dyDescent="0.25">
      <c r="J25" t="s">
        <v>9</v>
      </c>
      <c r="K25">
        <f>SUM(K18:K23)</f>
        <v>555000</v>
      </c>
    </row>
    <row r="28" spans="2:20" x14ac:dyDescent="0.25">
      <c r="E28" t="s">
        <v>56</v>
      </c>
      <c r="G28" t="s">
        <v>57</v>
      </c>
      <c r="J28" t="s">
        <v>58</v>
      </c>
      <c r="L28" t="s">
        <v>55</v>
      </c>
      <c r="M28" s="2">
        <v>45627</v>
      </c>
      <c r="N28" s="2">
        <v>45658</v>
      </c>
      <c r="O28" t="s">
        <v>59</v>
      </c>
      <c r="P28" t="s">
        <v>60</v>
      </c>
      <c r="Q28" t="s">
        <v>61</v>
      </c>
    </row>
    <row r="29" spans="2:20" ht="18.75" x14ac:dyDescent="0.3">
      <c r="B29" s="1" t="s">
        <v>40</v>
      </c>
      <c r="C29" s="1">
        <v>60000</v>
      </c>
      <c r="H29" s="1" t="s">
        <v>40</v>
      </c>
      <c r="I29" s="1">
        <v>60000</v>
      </c>
      <c r="J29">
        <v>30000</v>
      </c>
      <c r="M29">
        <v>30000</v>
      </c>
    </row>
    <row r="30" spans="2:20" ht="18.75" x14ac:dyDescent="0.3">
      <c r="B30" s="1" t="s">
        <v>41</v>
      </c>
      <c r="C30" s="1">
        <v>54000</v>
      </c>
      <c r="E30">
        <v>15</v>
      </c>
      <c r="F30">
        <f>I30*0.15</f>
        <v>8100</v>
      </c>
      <c r="G30">
        <f>F30/365</f>
        <v>22.19178082191781</v>
      </c>
      <c r="H30" s="1" t="s">
        <v>63</v>
      </c>
      <c r="I30" s="1">
        <v>54000</v>
      </c>
      <c r="J30">
        <f>I30-T24</f>
        <v>14441.095890410958</v>
      </c>
      <c r="L30">
        <v>30</v>
      </c>
      <c r="M30">
        <v>31</v>
      </c>
      <c r="N30">
        <v>30</v>
      </c>
      <c r="O30">
        <f>(19+L30+M30+N30)*G30</f>
        <v>2441.0958904109589</v>
      </c>
      <c r="P30">
        <v>42000</v>
      </c>
    </row>
    <row r="31" spans="2:20" ht="18.75" x14ac:dyDescent="0.3">
      <c r="B31" s="1" t="s">
        <v>42</v>
      </c>
      <c r="C31" s="1">
        <v>70000</v>
      </c>
      <c r="E31">
        <v>15</v>
      </c>
      <c r="F31">
        <f>I31*0.15</f>
        <v>10500</v>
      </c>
      <c r="G31">
        <f>F31/365</f>
        <v>28.767123287671232</v>
      </c>
      <c r="H31" s="1" t="s">
        <v>42</v>
      </c>
      <c r="I31" s="1">
        <v>70000</v>
      </c>
      <c r="J31">
        <v>20000</v>
      </c>
      <c r="L31">
        <v>30</v>
      </c>
      <c r="M31">
        <v>31</v>
      </c>
      <c r="N31">
        <f>(19+L31+M31)*G31</f>
        <v>2301.3698630136987</v>
      </c>
      <c r="O31">
        <v>52301</v>
      </c>
    </row>
    <row r="32" spans="2:20" ht="18.75" x14ac:dyDescent="0.3">
      <c r="B32" s="1" t="s">
        <v>43</v>
      </c>
      <c r="C32" s="1">
        <v>144000</v>
      </c>
      <c r="H32" s="1" t="s">
        <v>43</v>
      </c>
      <c r="I32" s="1">
        <v>144000</v>
      </c>
    </row>
    <row r="33" spans="2:14" ht="18.75" x14ac:dyDescent="0.3">
      <c r="B33" s="1" t="s">
        <v>43</v>
      </c>
      <c r="C33" s="1">
        <v>10000</v>
      </c>
      <c r="H33" s="1" t="s">
        <v>62</v>
      </c>
      <c r="I33" s="1">
        <v>10000</v>
      </c>
    </row>
    <row r="34" spans="2:14" ht="18.75" x14ac:dyDescent="0.3">
      <c r="B34" s="1" t="s">
        <v>43</v>
      </c>
      <c r="C34" s="1">
        <v>76000</v>
      </c>
      <c r="H34" s="1" t="s">
        <v>43</v>
      </c>
      <c r="I34" s="1">
        <v>76000</v>
      </c>
      <c r="M34" t="s">
        <v>64</v>
      </c>
      <c r="N34" s="4">
        <f>SUM(I32:I34)</f>
        <v>230000</v>
      </c>
    </row>
    <row r="35" spans="2:14" ht="18.75" x14ac:dyDescent="0.3">
      <c r="B35" s="1" t="s">
        <v>44</v>
      </c>
      <c r="C35" s="1">
        <v>56000</v>
      </c>
      <c r="H35" s="1" t="s">
        <v>44</v>
      </c>
      <c r="I35" s="1">
        <v>56000</v>
      </c>
      <c r="L35" s="3"/>
      <c r="M35" s="3">
        <v>45805</v>
      </c>
      <c r="N35">
        <v>3500</v>
      </c>
    </row>
    <row r="39" spans="2:14" x14ac:dyDescent="0.25">
      <c r="H39" t="s">
        <v>58</v>
      </c>
      <c r="I39">
        <f>SUM(I29:I34)</f>
        <v>414000</v>
      </c>
      <c r="J39">
        <f>I39-K39-50000</f>
        <v>364000</v>
      </c>
    </row>
    <row r="47" spans="2:14" x14ac:dyDescent="0.25">
      <c r="M47" t="s">
        <v>58</v>
      </c>
      <c r="N47" s="4">
        <f>N34-SUM(N35:N44)</f>
        <v>226500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3CC1-6CB0-418F-9FB5-7637627FE991}">
  <dimension ref="C10:M24"/>
  <sheetViews>
    <sheetView topLeftCell="B19" zoomScale="145" zoomScaleNormal="145" workbookViewId="0">
      <selection activeCell="F28" sqref="F28"/>
    </sheetView>
  </sheetViews>
  <sheetFormatPr baseColWidth="10" defaultRowHeight="15" x14ac:dyDescent="0.25"/>
  <cols>
    <col min="8" max="8" width="13.140625" bestFit="1" customWidth="1"/>
    <col min="10" max="10" width="12.85546875" bestFit="1" customWidth="1"/>
    <col min="11" max="11" width="11.42578125" customWidth="1"/>
  </cols>
  <sheetData>
    <row r="10" spans="11:11" x14ac:dyDescent="0.25">
      <c r="K10">
        <v>7501559614135</v>
      </c>
    </row>
    <row r="13" spans="11:11" x14ac:dyDescent="0.25">
      <c r="K13">
        <v>7501559614135</v>
      </c>
    </row>
    <row r="18" spans="3:13" x14ac:dyDescent="0.25">
      <c r="K18">
        <v>7501559614135</v>
      </c>
    </row>
    <row r="21" spans="3:13" x14ac:dyDescent="0.25">
      <c r="C21" t="s">
        <v>46</v>
      </c>
      <c r="D21" t="s">
        <v>45</v>
      </c>
      <c r="E21" t="s">
        <v>47</v>
      </c>
      <c r="F21" t="s">
        <v>48</v>
      </c>
      <c r="G21" t="s">
        <v>49</v>
      </c>
      <c r="H21" t="s">
        <v>13</v>
      </c>
      <c r="I21" t="s">
        <v>54</v>
      </c>
      <c r="J21" t="s">
        <v>53</v>
      </c>
      <c r="K21" t="s">
        <v>50</v>
      </c>
      <c r="M21" t="s">
        <v>51</v>
      </c>
    </row>
    <row r="22" spans="3:13" x14ac:dyDescent="0.25">
      <c r="C22">
        <v>90</v>
      </c>
      <c r="D22">
        <v>5</v>
      </c>
      <c r="E22">
        <v>650</v>
      </c>
      <c r="G22">
        <v>2750</v>
      </c>
      <c r="J22">
        <f>12*G22</f>
        <v>33000</v>
      </c>
      <c r="K22">
        <f>D22*E22</f>
        <v>3250</v>
      </c>
      <c r="L22">
        <f>K22*52</f>
        <v>169000</v>
      </c>
      <c r="M22">
        <f>L22-J22</f>
        <v>136000</v>
      </c>
    </row>
    <row r="24" spans="3:13" x14ac:dyDescent="0.25">
      <c r="C24" t="s">
        <v>52</v>
      </c>
      <c r="D24">
        <v>6</v>
      </c>
      <c r="E24">
        <v>700</v>
      </c>
      <c r="I24">
        <f>182*60</f>
        <v>10920</v>
      </c>
      <c r="K24">
        <f>D24*E24</f>
        <v>4200</v>
      </c>
      <c r="L24">
        <f>52*K24</f>
        <v>218400</v>
      </c>
      <c r="M24">
        <f>L24-I24</f>
        <v>207480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Genaro Pedro Velazquez Jimenez</dc:creator>
  <cp:lastModifiedBy>Genaro Pedro Velazquez Jimenez</cp:lastModifiedBy>
  <dcterms:created xsi:type="dcterms:W3CDTF">2024-10-03T20:20:19Z</dcterms:created>
  <dcterms:modified xsi:type="dcterms:W3CDTF">2025-06-03T18:19:15Z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2024-10-10T02:02:05Z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87e275d1-d002-4383-a094-b6911aaeeb0d</vt:lpwstr>
  </property>
  <property fmtid="{D5CDD505-2E9C-101B-9397-08002B2CF9AE}" pid="8" name="MSIP_Label_349e4846-88cf-4894-bf06-ac98d70f27be_ContentBits">
    <vt:lpwstr>0</vt:lpwstr>
  </property>
</Properties>
</file>